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9af077f5e45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_Exceptions_MVP_EN" sheetId="1" r:id="Re0b28d6ba6fa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14" fontId="0" fillId="0" borderId="0" xfId="0" applyNumberFormat="1" applyAlignment="1">
      <x:alignment wrapText="1"/>
    </x:xf>
    <x:xf numFmtId="14" fontId="0" fillId="0" borderId="0" xfId="0" applyNumberFormat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14" fontId="0" fillId="0" borderId="1" xfId="0" applyNumberFormat="1" applyFont="1" applyFill="1" applyBorder="1" applyAlignment="1">
      <x:alignment wrapText="1"/>
    </x:xf>
    <x:xf numFmtId="14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</x:font>
      <x:fill>
        <x:patternFill>
          <x:bgColor rgb="FFF4B084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d80ad82304fc0" /><Relationship Type="http://schemas.openxmlformats.org/officeDocument/2006/relationships/theme" Target="/xl/theme/theme1.xml" Id="R44fd4f1376aa4b0c" /><Relationship Type="http://schemas.openxmlformats.org/officeDocument/2006/relationships/sharedStrings" Target="/xl/sharedStrings.xml" Id="Rc26c49a295fb4a91" /><Relationship Type="http://schemas.openxmlformats.org/officeDocument/2006/relationships/worksheet" Target="/xl/worksheets/sheet1.xml" Id="Re0b28d6ba6fa4ebe" /></Relationships>
</file>

<file path=xl/tables/table1.xml><?xml version="1.0" encoding="utf-8"?>
<x:table xmlns:x="http://schemas.openxmlformats.org/spreadsheetml/2006/main" id="1" name="ExcepcionesDLP" displayName="ExcepcionesDLP" ref="A1:V17">
  <x:tableColumns count="22">
    <x:tableColumn id="1" name="IDExcepcion"/>
    <x:tableColumn id="2" name="EnviarFormulario"/>
    <x:tableColumn id="3" name="EstadoComunicacion"/>
    <x:tableColumn id="4" name="EstadoRespuestaFormulario"/>
    <x:tableColumn id="5" name="Solicitante"/>
    <x:tableColumn id="6" name="Departamento"/>
    <x:tableColumn id="7" name="Canal"/>
    <x:tableColumn id="8" name="DirectivaDLP"/>
    <x:tableColumn id="9" name="TipoDatoSensible"/>
    <x:tableColumn id="10" name="JustificacionNegocio"/>
    <x:tableColumn id="11" name="Aprobador"/>
    <x:tableColumn id="12" name="EstadoAprobacion"/>
    <x:tableColumn id="13" name="FechaCaducidad"/>
    <x:tableColumn id="14" name="EstadoExcepcion"/>
    <x:tableColumn id="15" name="Alertas30Dias"/>
    <x:tableColumn id="16" name="FechaUltimaActividad"/>
    <x:tableColumn id="17" name="ListaParaEvaluacion"/>
    <x:tableColumn id="18" name="PuntuacionRiesgo"/>
    <x:tableColumn id="19" name="NivelRiesgo"/>
    <x:tableColumn id="20" name="ExplicacionRiesgo"/>
    <x:tableColumn id="21" name="AccionRecomendada"/>
    <x:tableColumn id="22" name="FechaUltimaEvaluacionRiesg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5e284c45774945" /></Relationships>
</file>

<file path=xl/worksheets/sheet1.xml><?xml version="1.0" encoding="utf-8"?>
<x:worksheet xmlns:x="http://schemas.openxmlformats.org/spreadsheetml/2006/main">
  <x:sheetFormatPr defaultColWidth="8.625" defaultRowHeight="14.100000381469727"/>
  <x:cols>
    <x:col min="1" max="1" width="12.380000114440918" hidden="0" customWidth="1"/>
    <x:col min="2" max="2" width="10.899999618530273" hidden="0" customWidth="1"/>
    <x:col min="3" max="3" width="20.729999542236328" hidden="0" customWidth="1"/>
    <x:col min="4" max="4" width="19.780000686645508" hidden="0" customWidth="1"/>
    <x:col min="5" max="5" width="24.229999542236328" hidden="0" customWidth="1"/>
    <x:col min="6" max="6" width="14" hidden="0" customWidth="1"/>
    <x:col min="8" max="8" width="48.59000015258789" hidden="0" customWidth="1"/>
    <x:col min="9" max="9" width="17.6299991607666" hidden="0" customWidth="1"/>
    <x:col min="10" max="10" width="98.37999725341797" hidden="0" customWidth="1"/>
    <x:col min="11" max="11" width="23.280000686645508" hidden="0" customWidth="1"/>
    <x:col min="12" max="12" width="15.069999694824219" hidden="0" customWidth="1"/>
    <x:col min="13" max="13" width="11.569999694824219" hidden="0" customWidth="1"/>
    <x:col min="14" max="14" width="15.880000114440918" hidden="0" customWidth="1"/>
    <x:col min="15" max="15" width="13.319999694824219" hidden="0" customWidth="1"/>
    <x:col min="16" max="16" width="15.880000114440918" hidden="0" customWidth="1"/>
    <x:col min="18" max="18" width="10.5" hidden="0" customWidth="1"/>
    <x:col min="19" max="19" width="10.229999542236328" hidden="0" customWidth="1"/>
    <x:col min="20" max="20" width="49.65999984741211" hidden="0" customWidth="1"/>
    <x:col min="21" max="21" width="20.190000534057617" hidden="0" customWidth="1"/>
    <x:col min="22" max="22" width="22.75" hidden="0" customWidth="1"/>
    <x:col min="7" max="7" width="15.75" hidden="0" customWidth="1"/>
    <x:col min="17" max="17" width="19.920000076293945" hidden="0" customWidth="1"/>
  </x:cols>
  <x:sheetData>
    <x:row r="1" ht="27.950000762939453">
      <x:c r="A1" s="10" t="str">
        <x:v>ExceptionID</x:v>
      </x:c>
      <x:c r="B1" s="1" t="str">
        <x:v>SendForm</x:v>
      </x:c>
      <x:c r="C1" s="1" t="str">
        <x:v>CommunicationStatus</x:v>
      </x:c>
      <x:c r="D1" s="1" t="str">
        <x:v>FormResponseStatus</x:v>
      </x:c>
      <x:c r="E1" s="1" t="str">
        <x:v>Requester</x:v>
      </x:c>
      <x:c r="F1" s="1" t="str">
        <x:v>Department</x:v>
      </x:c>
      <x:c r="G1" s="1" t="str">
        <x:v>Channel</x:v>
      </x:c>
      <x:c r="H1" s="1" t="str">
        <x:v>DLPPolicy</x:v>
      </x:c>
      <x:c r="I1" s="1" t="str">
        <x:v>SensitiveDataType</x:v>
      </x:c>
      <x:c r="J1" s="1" t="str">
        <x:v>BusinessJustification</x:v>
      </x:c>
      <x:c r="K1" s="1" t="str">
        <x:v>Approver</x:v>
      </x:c>
      <x:c r="L1" s="1" t="str">
        <x:v>ApprovalStatus</x:v>
      </x:c>
      <x:c r="M1" s="1" t="str">
        <x:v>ExpiryDate</x:v>
      </x:c>
      <x:c r="N1" s="1" t="str">
        <x:v>ExceptionStatus</x:v>
      </x:c>
      <x:c r="O1" s="1" t="str">
        <x:v>Alerts30Days</x:v>
      </x:c>
      <x:c r="P1" s="1" t="str">
        <x:v>LastActivityDate</x:v>
      </x:c>
      <x:c r="Q1" s="1" t="str">
        <x:v>ReadyForAssessment</x:v>
      </x:c>
      <x:c r="R1" s="1" t="str">
        <x:v>RiskScore</x:v>
      </x:c>
      <x:c r="S1" s="1" t="str">
        <x:v>RiskLevel</x:v>
      </x:c>
      <x:c r="T1" s="1" t="str">
        <x:v>RiskExplanation</x:v>
      </x:c>
      <x:c r="U1" s="1" t="str">
        <x:v>RecommendedAction</x:v>
      </x:c>
      <x:c r="V1" s="1" t="str">
        <x:v>LastRiskAssessmentDate</x:v>
      </x:c>
    </x:row>
    <x:row r="2" ht="33.75">
      <x:c r="A2" s="2" t="str">
        <x:v>DLP-0001</x:v>
      </x:c>
      <x:c r="B2" s="2" t="str">
        <x:v>Yes</x:v>
      </x:c>
      <x:c r="C2" s="2" t="str">
        <x:v>Sent</x:v>
      </x:c>
      <x:c r="D2" s="2" t="str">
        <x:v>Completed</x:v>
      </x:c>
      <x:c r="E2" s="2" t="str">
        <x:v>ana.soler@example.com</x:v>
      </x:c>
      <x:c r="F2" s="2" t="str">
        <x:v>Operations</x:v>
      </x:c>
      <x:c r="G2" s="2" t="str">
        <x:v>Endpoint devices</x:v>
      </x:c>
      <x:c r="H2" s="2" t="str">
        <x:v>[Endpoint] EXCL Non-medical Data</x:v>
      </x:c>
      <x:c r="I2" s="2" t="str">
        <x:v>Spain DNI</x:v>
      </x:c>
      <x:c r="J2" s="2" t="str">
        <x:v>Temporary exception to allow operational processing of documentation containing national identifiers on endpoint devices.</x:v>
      </x:c>
      <x:c r="K2" s="2" t="str">
        <x:v>laura.mendez@example.com</x:v>
      </x:c>
      <x:c r="L2" s="2" t="str">
        <x:v>Approved</x:v>
      </x:c>
      <x:c r="M2" s="3" t="n">
        <x:v>46208</x:v>
      </x:c>
      <x:c r="N2" s="2" t="str">
        <x:f t="shared" ref="N2:N17" si="0">IF(L2&lt;&gt;"Aprobado",IF(L2="Rechazado","Rechazada",IF(L2="Pendiente","Pendiente de aprobación","Borrador")),IF(M2&lt;TODAY(),"Caducada","Activa"))</x:f>
        <x:v>Active</x:v>
      </x:c>
      <x:c r="O2" s="2" t="n">
        <x:v>3</x:v>
      </x:c>
      <x:c r="P2" s="3" t="n">
        <x:v>46332</x:v>
      </x:c>
      <x:c r="Q2" s="2" t="str">
        <x:f t="shared" ref="Q2:Q17" si="1">IF(AND(C2="Enviado",D2="Completado",L2="Aprobado",OR(N2="Activa",N2="Caducada")),"Sí","No")</x:f>
        <x:v>Yes</x:v>
      </x:c>
      <x:c r="R2" s="2" t="n">
        <x:v>5</x:v>
      </x:c>
      <x:c r="S2" s="2" t="str">
        <x:v>Medium</x:v>
      </x:c>
      <x:c r="T2" s="2" t="str">
        <x:v>Recent activity (3 alerts), DNI data type and endpoint channel.</x:v>
      </x:c>
      <x:c r="U2" s="2" t="str">
        <x:v>Review</x:v>
      </x:c>
      <x:c r="V2" s="3" t="n">
        <x:v>46185</x:v>
      </x:c>
    </x:row>
    <x:row r="3" ht="33.75">
      <x:c r="A3" s="2" t="str">
        <x:v>DLP-0002</x:v>
      </x:c>
      <x:c r="B3" s="2" t="str">
        <x:v>Yes</x:v>
      </x:c>
      <x:c r="C3" s="2" t="str">
        <x:v>Sent</x:v>
      </x:c>
      <x:c r="D3" s="2" t="str">
        <x:v>Completed</x:v>
      </x:c>
      <x:c r="E3" s="2" t="str">
        <x:v>bruno.martin@example.com</x:v>
      </x:c>
      <x:c r="F3" s="2" t="str">
        <x:v>Healthcare</x:v>
      </x:c>
      <x:c r="G3" s="2" t="str">
        <x:v>Exchange</x:v>
      </x:c>
      <x:c r="H3" s="2" t="str">
        <x:v>[Exchange] EXCL Medical Data - Exchange to Webmail</x:v>
      </x:c>
      <x:c r="I3" s="2" t="str">
        <x:v>Medical data / policy</x:v>
      </x:c>
      <x:c r="J3" s="2" t="str">
        <x:v>Justified sending of healthcare documentation to external mailboxes authorized by the care process.</x:v>
      </x:c>
      <x:c r="K3" s="2" t="str">
        <x:v>diego.romero@example.com</x:v>
      </x:c>
      <x:c r="L3" s="2" t="str">
        <x:v>Approved</x:v>
      </x:c>
      <x:c r="M3" s="3" t="n">
        <x:v>46198</x:v>
      </x:c>
      <x:c r="N3" s="2" t="str">
        <x:f t="shared" si="0"/>
        <x:v>Active</x:v>
      </x:c>
      <x:c r="O3" s="2" t="n">
        <x:v>4</x:v>
      </x:c>
      <x:c r="P3" s="3" t="n">
        <x:v>46301</x:v>
      </x:c>
      <x:c r="Q3" s="2" t="str">
        <x:f t="shared" si="1"/>
        <x:v>Yes</x:v>
      </x:c>
      <x:c r="R3" s="2" t="n">
        <x:v>3</x:v>
      </x:c>
      <x:c r="S3" s="2" t="str">
        <x:v>Medium</x:v>
      </x:c>
      <x:c r="T3" s="2" t="str">
        <x:v>Recent alerts involving medical data.</x:v>
      </x:c>
      <x:c r="U3" s="2" t="str">
        <x:v>Review</x:v>
      </x:c>
      <x:c r="V3" s="3" t="n">
        <x:v>46185</x:v>
      </x:c>
    </x:row>
    <x:row r="4" ht="33.75">
      <x:c r="A4" s="2" t="str">
        <x:v>DLP-0003</x:v>
      </x:c>
      <x:c r="B4" s="2" t="str">
        <x:v>Yes</x:v>
      </x:c>
      <x:c r="C4" s="2" t="str">
        <x:v>Sent</x:v>
      </x:c>
      <x:c r="D4" s="2" t="str">
        <x:v>Completed</x:v>
      </x:c>
      <x:c r="E4" s="2" t="str">
        <x:v>irene.vargas@example.com</x:v>
      </x:c>
      <x:c r="F4" s="2" t="str">
        <x:v>Projects</x:v>
      </x:c>
      <x:c r="G4" s="2" t="str">
        <x:v>SharePoint</x:v>
      </x:c>
      <x:c r="H4" s="2" t="str">
        <x:v>[SharePoint] EXCL Extraction of large files</x:v>
      </x:c>
      <x:c r="I4" s="2" t="str">
        <x:v>Large file extraction</x:v>
      </x:c>
      <x:c r="J4" s="2" t="str">
        <x:v>User exception for one-off download of project documentation from SharePoint.</x:v>
      </x:c>
      <x:c r="K4" s="2" t="str">
        <x:v>clara.torres@example.com</x:v>
      </x:c>
      <x:c r="L4" s="2" t="str">
        <x:v>Approved</x:v>
      </x:c>
      <x:c r="M4" s="3" t="n">
        <x:v>46244</x:v>
      </x:c>
      <x:c r="N4" s="2" t="str">
        <x:f t="shared" si="0"/>
        <x:v>Active</x:v>
      </x:c>
      <x:c r="O4" s="2" t="n">
        <x:v>2</x:v>
      </x:c>
      <x:c r="P4" s="3" t="n">
        <x:v>46332</x:v>
      </x:c>
      <x:c r="Q4" s="2" t="str">
        <x:f t="shared" si="1"/>
        <x:v>Yes</x:v>
      </x:c>
      <x:c r="R4" s="2" t="n">
        <x:v>1</x:v>
      </x:c>
      <x:c r="S4" s="2" t="str">
        <x:v>Low</x:v>
      </x:c>
      <x:c r="T4" s="2" t="str">
        <x:v>Low usage and no critical channels.</x:v>
      </x:c>
      <x:c r="U4" s="2" t="str">
        <x:v>No immediate action</x:v>
      </x:c>
      <x:c r="V4" s="3" t="n">
        <x:v>46185</x:v>
      </x:c>
    </x:row>
    <x:row r="5" ht="33.75">
      <x:c r="A5" s="2" t="str">
        <x:v>DLP-0004</x:v>
      </x:c>
      <x:c r="B5" s="2" t="str">
        <x:v>Yes</x:v>
      </x:c>
      <x:c r="C5" s="2" t="str">
        <x:v>Sent</x:v>
      </x:c>
      <x:c r="D5" s="2" t="str">
        <x:v>Completed</x:v>
      </x:c>
      <x:c r="E5" s="2" t="str">
        <x:v>elena.rubio@example.com</x:v>
      </x:c>
      <x:c r="F5" s="2" t="str">
        <x:v>Management</x:v>
      </x:c>
      <x:c r="G5" s="2" t="str">
        <x:v>OneDrive</x:v>
      </x:c>
      <x:c r="H5" s="2" t="str">
        <x:v>[OneDrive] EXCL Extraction of large files</x:v>
      </x:c>
      <x:c r="I5" s="2" t="str">
        <x:v>Large file extraction</x:v>
      </x:c>
      <x:c r="J5" s="2" t="str">
        <x:v>Temporary exception for controlled synchronization and extraction of corporate files from OneDrive.</x:v>
      </x:c>
      <x:c r="K5" s="2" t="str">
        <x:v>hector.arias@example.com</x:v>
      </x:c>
      <x:c r="L5" s="2" t="str">
        <x:v>Approved</x:v>
      </x:c>
      <x:c r="M5" s="3" t="n">
        <x:v>46223</x:v>
      </x:c>
      <x:c r="N5" s="2" t="str">
        <x:f t="shared" si="0"/>
        <x:v>Active</x:v>
      </x:c>
      <x:c r="O5" s="2" t="n">
        <x:v>2</x:v>
      </x:c>
      <x:c r="P5" s="3" t="n">
        <x:v>46301</x:v>
      </x:c>
      <x:c r="Q5" s="2" t="str">
        <x:f t="shared" si="1"/>
        <x:v>Yes</x:v>
      </x:c>
      <x:c r="R5" s="2" t="n">
        <x:v>1</x:v>
      </x:c>
      <x:c r="S5" s="2" t="str">
        <x:v>Low</x:v>
      </x:c>
      <x:c r="T5" s="2" t="str">
        <x:v>Low usage, no critical sensitive data type.</x:v>
      </x:c>
      <x:c r="U5" s="2" t="str">
        <x:v>No immediate action</x:v>
      </x:c>
      <x:c r="V5" s="3" t="n">
        <x:v>46185</x:v>
      </x:c>
    </x:row>
    <x:row r="6" ht="33.75">
      <x:c r="A6" s="2" t="str">
        <x:v>DLP-0005</x:v>
      </x:c>
      <x:c r="B6" s="2" t="str">
        <x:v>Yes</x:v>
      </x:c>
      <x:c r="C6" s="2" t="str">
        <x:v>Sent</x:v>
      </x:c>
      <x:c r="D6" s="2" t="str">
        <x:v>Completed</x:v>
      </x:c>
      <x:c r="E6" s="2" t="str">
        <x:v>mateo.navarro@example.com</x:v>
      </x:c>
      <x:c r="F6" s="2" t="str">
        <x:v>Clinical</x:v>
      </x:c>
      <x:c r="G6" s="2" t="str">
        <x:v>Endpoint devices</x:v>
      </x:c>
      <x:c r="H6" s="2" t="str">
        <x:v>[Endpoint] EXCL Medical Data</x:v>
      </x:c>
      <x:c r="I6" s="2" t="str">
        <x:v>Medical data / DNI</x:v>
      </x:c>
      <x:c r="J6" s="2" t="str">
        <x:v>Temporary processing of medical documents from a corporate device during a controlled migration.</x:v>
      </x:c>
      <x:c r="K6" s="2" t="str">
        <x:v>laura.mendez@example.com</x:v>
      </x:c>
      <x:c r="L6" s="2" t="str">
        <x:v>Approved</x:v>
      </x:c>
      <x:c r="M6" s="3" t="n">
        <x:v>46188</x:v>
      </x:c>
      <x:c r="N6" s="2" t="str">
        <x:f t="shared" si="0"/>
        <x:v>Active</x:v>
      </x:c>
      <x:c r="O6" s="2" t="n">
        <x:v>6</x:v>
      </x:c>
      <x:c r="P6" s="3" t="n">
        <x:v>46271</x:v>
      </x:c>
      <x:c r="Q6" s="2" t="str">
        <x:f t="shared" si="1"/>
        <x:v>Yes</x:v>
      </x:c>
      <x:c r="R6" s="2" t="n">
        <x:v>6</x:v>
      </x:c>
      <x:c r="S6" s="2" t="str">
        <x:v>High</x:v>
      </x:c>
      <x:c r="T6" s="2" t="str">
        <x:v>Endpoint channel, medical data and high activity.</x:v>
      </x:c>
      <x:c r="U6" s="2" t="str">
        <x:v>Escalate</x:v>
      </x:c>
      <x:c r="V6" s="3" t="n">
        <x:v>46185</x:v>
      </x:c>
    </x:row>
    <x:row r="7" ht="33.75">
      <x:c r="A7" s="2" t="str">
        <x:v>DLP-0006</x:v>
      </x:c>
      <x:c r="B7" s="2" t="str">
        <x:v>Yes</x:v>
      </x:c>
      <x:c r="C7" s="2" t="str">
        <x:v>Sent</x:v>
      </x:c>
      <x:c r="D7" s="2" t="str">
        <x:v>Completed</x:v>
      </x:c>
      <x:c r="E7" s="2" t="str">
        <x:v>silvia.pardo@example.com</x:v>
      </x:c>
      <x:c r="F7" s="2" t="str">
        <x:v>Administration</x:v>
      </x:c>
      <x:c r="G7" s="2" t="str">
        <x:v>Exchange</x:v>
      </x:c>
      <x:c r="H7" s="2" t="str">
        <x:v>[Exchange] EXCL Non-medical Data - General Email</x:v>
      </x:c>
      <x:c r="I7" s="2" t="str">
        <x:v>Spain DNI</x:v>
      </x:c>
      <x:c r="J7" s="2" t="str">
        <x:v>One-off sending of non-medical administrative documentation to authorized external recipients.</x:v>
      </x:c>
      <x:c r="K7" s="2" t="str">
        <x:v>diego.romero@example.com</x:v>
      </x:c>
      <x:c r="L7" s="2" t="str">
        <x:v>Approved</x:v>
      </x:c>
      <x:c r="M7" s="3" t="n">
        <x:v>46204</x:v>
      </x:c>
      <x:c r="N7" s="2" t="str">
        <x:f t="shared" si="0"/>
        <x:v>Active</x:v>
      </x:c>
      <x:c r="O7" s="2" t="n">
        <x:v>3</x:v>
      </x:c>
      <x:c r="P7" s="3" t="n">
        <x:v>46332</x:v>
      </x:c>
      <x:c r="Q7" s="2" t="str">
        <x:f t="shared" si="1"/>
        <x:v>Yes</x:v>
      </x:c>
      <x:c r="R7" s="2" t="n">
        <x:v>3</x:v>
      </x:c>
      <x:c r="S7" s="2" t="str">
        <x:v>Medium</x:v>
      </x:c>
      <x:c r="T7" s="2" t="str">
        <x:v>Light activity with non-critical DNI data.</x:v>
      </x:c>
      <x:c r="U7" s="2" t="str">
        <x:v>Review</x:v>
      </x:c>
      <x:c r="V7" s="3" t="n">
        <x:v>46185</x:v>
      </x:c>
    </x:row>
    <x:row r="8" ht="33.75">
      <x:c r="A8" s="2" t="str">
        <x:v>DLP-0007</x:v>
      </x:c>
      <x:c r="B8" s="2" t="str">
        <x:v>Yes</x:v>
      </x:c>
      <x:c r="C8" s="2" t="str">
        <x:v>Sent</x:v>
      </x:c>
      <x:c r="D8" s="2" t="str">
        <x:v>Completed</x:v>
      </x:c>
      <x:c r="E8" s="2" t="str">
        <x:v>alvaro.rey@example.com</x:v>
      </x:c>
      <x:c r="F8" s="2" t="str">
        <x:v>IT</x:v>
      </x:c>
      <x:c r="G8" s="2" t="str">
        <x:v>Endpoint devices</x:v>
      </x:c>
      <x:c r="H8" s="2" t="str">
        <x:v>[Endpoint] EXCL Extraction of large files</x:v>
      </x:c>
      <x:c r="I8" s="2" t="str">
        <x:v>Large file extraction</x:v>
      </x:c>
      <x:c r="J8" s="2" t="str">
        <x:v>Exception for controlled transfer of large files during authorized technical tasks.</x:v>
      </x:c>
      <x:c r="K8" s="2" t="str">
        <x:v>hector.arias@example.com</x:v>
      </x:c>
      <x:c r="L8" s="2" t="str">
        <x:v>Approved</x:v>
      </x:c>
      <x:c r="M8" s="3" t="n">
        <x:v>46264</x:v>
      </x:c>
      <x:c r="N8" s="2" t="str">
        <x:f t="shared" si="0"/>
        <x:v>Active</x:v>
      </x:c>
      <x:c r="O8" s="2" t="n">
        <x:v>3</x:v>
      </x:c>
      <x:c r="P8" s="3" t="n">
        <x:v>46332</x:v>
      </x:c>
      <x:c r="Q8" s="2" t="str">
        <x:f t="shared" si="1"/>
        <x:v>Yes</x:v>
      </x:c>
      <x:c r="R8" s="2" t="n">
        <x:v>3</x:v>
      </x:c>
      <x:c r="S8" s="2" t="str">
        <x:v>Medium</x:v>
      </x:c>
      <x:c r="T8" s="2" t="str">
        <x:v>Endpoint channel and moderate activity.</x:v>
      </x:c>
      <x:c r="U8" s="2" t="str">
        <x:v>Review</x:v>
      </x:c>
      <x:c r="V8" s="3" t="n">
        <x:v>46185</x:v>
      </x:c>
    </x:row>
    <x:row r="9" ht="33.75">
      <x:c r="A9" s="2" t="str">
        <x:v>DLP-0008</x:v>
      </x:c>
      <x:c r="B9" s="2" t="str">
        <x:v>Yes</x:v>
      </x:c>
      <x:c r="C9" s="2" t="str">
        <x:v>Sent</x:v>
      </x:c>
      <x:c r="D9" s="2" t="str">
        <x:v>Completed</x:v>
      </x:c>
      <x:c r="E9" s="2" t="str">
        <x:v>lucia.ortega@example.com</x:v>
      </x:c>
      <x:c r="F9" s="2" t="str">
        <x:v>Administration</x:v>
      </x:c>
      <x:c r="G9" s="2" t="str">
        <x:v>Exchange</x:v>
      </x:c>
      <x:c r="H9" s="2" t="str">
        <x:v>[Exchange] EXCL Non-medical Data - Exchange to Webmail</x:v>
      </x:c>
      <x:c r="I9" s="2" t="str">
        <x:v>Spain DNI</x:v>
      </x:c>
      <x:c r="J9" s="2" t="str">
        <x:v>Limited exception for exchanging administrative documentation with an authorized external webmail mailbox.</x:v>
      </x:c>
      <x:c r="K9" s="2" t="str">
        <x:v>clara.torres@example.com</x:v>
      </x:c>
      <x:c r="L9" s="2" t="str">
        <x:v>Approved</x:v>
      </x:c>
      <x:c r="M9" s="3" t="n">
        <x:v>46215</x:v>
      </x:c>
      <x:c r="N9" s="2" t="str">
        <x:f t="shared" si="0"/>
        <x:v>Active</x:v>
      </x:c>
      <x:c r="O9" s="2" t="n">
        <x:v>0</x:v>
      </x:c>
      <x:c r="P9" s="3"/>
      <x:c r="Q9" s="2" t="str">
        <x:f t="shared" si="1"/>
        <x:v>Yes</x:v>
      </x:c>
      <x:c r="R9" s="2" t="n">
        <x:v>2</x:v>
      </x:c>
      <x:c r="S9" s="2" t="str">
        <x:v>Low</x:v>
      </x:c>
      <x:c r="T9" s="2" t="str">
        <x:v>No usage and DNI data (controllable).</x:v>
      </x:c>
      <x:c r="U9" s="2" t="str">
        <x:v>Remove</x:v>
      </x:c>
      <x:c r="V9" s="3" t="n">
        <x:v>46185</x:v>
      </x:c>
    </x:row>
    <x:row r="10" ht="33.75">
      <x:c r="A10" s="2" t="str">
        <x:v>DLP-0009</x:v>
      </x:c>
      <x:c r="B10" s="2" t="str">
        <x:v>Yes</x:v>
      </x:c>
      <x:c r="C10" s="2" t="str">
        <x:v>Sent</x:v>
      </x:c>
      <x:c r="D10" s="2" t="str">
        <x:v>Completed</x:v>
      </x:c>
      <x:c r="E10" s="2" t="str">
        <x:v>marcos.vidal@example.com</x:v>
      </x:c>
      <x:c r="F10" s="2" t="str">
        <x:v>Projects</x:v>
      </x:c>
      <x:c r="G10" s="2" t="str">
        <x:v>Exchange</x:v>
      </x:c>
      <x:c r="H10" s="2" t="str">
        <x:v>[Exchange] EXCL Medical Data - Exchange to Webmail</x:v>
      </x:c>
      <x:c r="I10" s="2" t="str">
        <x:v>Medical data / policy</x:v>
      </x:c>
      <x:c r="J10" s="2" t="str">
        <x:v>Exception requested for external email, pending validation of whether there is real associated activity.</x:v>
      </x:c>
      <x:c r="K10" s="2" t="str">
        <x:v>laura.mendez@example.com</x:v>
      </x:c>
      <x:c r="L10" s="2" t="str">
        <x:v>Approved</x:v>
      </x:c>
      <x:c r="M10" s="3" t="n">
        <x:v>46221</x:v>
      </x:c>
      <x:c r="N10" s="2" t="str">
        <x:f t="shared" si="0"/>
        <x:v>Active</x:v>
      </x:c>
      <x:c r="O10" s="2" t="n">
        <x:v>2</x:v>
      </x:c>
      <x:c r="P10" s="3" t="n">
        <x:v>46301</x:v>
      </x:c>
      <x:c r="Q10" s="2" t="str">
        <x:f t="shared" si="1"/>
        <x:v>Yes</x:v>
      </x:c>
      <x:c r="R10" s="2" t="n">
        <x:v>3</x:v>
      </x:c>
      <x:c r="S10" s="2" t="str">
        <x:v>Medium</x:v>
      </x:c>
      <x:c r="T10" s="2" t="str">
        <x:v>Medical data and recent activity.</x:v>
      </x:c>
      <x:c r="U10" s="2" t="str">
        <x:v>Review</x:v>
      </x:c>
      <x:c r="V10" s="3" t="n">
        <x:v>46185</x:v>
      </x:c>
    </x:row>
    <x:row r="11" ht="33.75">
      <x:c r="A11" s="2" t="str">
        <x:v>DLP-0010</x:v>
      </x:c>
      <x:c r="B11" s="2" t="str">
        <x:v>Yes</x:v>
      </x:c>
      <x:c r="C11" s="2" t="str">
        <x:v>Sent</x:v>
      </x:c>
      <x:c r="D11" s="2" t="str">
        <x:v>Completed</x:v>
      </x:c>
      <x:c r="E11" s="2" t="str">
        <x:v>nuria.santos@example.com</x:v>
      </x:c>
      <x:c r="F11" s="2" t="str">
        <x:v>IT</x:v>
      </x:c>
      <x:c r="G11" s="2" t="str">
        <x:v>SharePoint</x:v>
      </x:c>
      <x:c r="H11" s="2" t="str">
        <x:v>[SharePoint] EXCL Extraction of large files</x:v>
      </x:c>
      <x:c r="I11" s="2" t="str">
        <x:v>Large file extraction</x:v>
      </x:c>
      <x:c r="J11" s="2" t="str">
        <x:v>Approved exception for extraction from SharePoint; real usage must be validated against alerts.</x:v>
      </x:c>
      <x:c r="K11" s="2" t="str">
        <x:v>hector.arias@example.com</x:v>
      </x:c>
      <x:c r="L11" s="2" t="str">
        <x:v>Approved</x:v>
      </x:c>
      <x:c r="M11" s="3" t="n">
        <x:v>46266</x:v>
      </x:c>
      <x:c r="N11" s="2" t="str">
        <x:f t="shared" si="0"/>
        <x:v>Active</x:v>
      </x:c>
      <x:c r="O11" s="2" t="n">
        <x:v>2</x:v>
      </x:c>
      <x:c r="P11" s="3" t="n">
        <x:v>46332</x:v>
      </x:c>
      <x:c r="Q11" s="2" t="str">
        <x:f t="shared" si="1"/>
        <x:v>Yes</x:v>
      </x:c>
      <x:c r="R11" s="2" t="n">
        <x:v>1</x:v>
      </x:c>
      <x:c r="S11" s="2" t="str">
        <x:v>Low</x:v>
      </x:c>
      <x:c r="T11" s="2" t="str">
        <x:v>Low usage and non-critical data type.</x:v>
      </x:c>
      <x:c r="U11" s="2" t="str">
        <x:v>No immediate action</x:v>
      </x:c>
      <x:c r="V11" s="3" t="n">
        <x:v>46185</x:v>
      </x:c>
    </x:row>
    <x:row r="12" ht="33.75">
      <x:c r="A12" s="2" t="str">
        <x:v>DLP-0011</x:v>
      </x:c>
      <x:c r="B12" s="2" t="str">
        <x:v>Yes</x:v>
      </x:c>
      <x:c r="C12" s="2" t="str">
        <x:v>Sent</x:v>
      </x:c>
      <x:c r="D12" s="2" t="str">
        <x:v>Completed</x:v>
      </x:c>
      <x:c r="E12" s="2" t="str">
        <x:v>marta.cano@example.com</x:v>
      </x:c>
      <x:c r="F12" s="2" t="str">
        <x:v>Healthcare</x:v>
      </x:c>
      <x:c r="G12" s="2" t="str">
        <x:v>Exchange</x:v>
      </x:c>
      <x:c r="H12" s="2" t="str">
        <x:v>[Exchange] EXCL Medical Data - Exchange to Webmail</x:v>
      </x:c>
      <x:c r="I12" s="2" t="str">
        <x:v>Medical data / policy</x:v>
      </x:c>
      <x:c r="J12" s="2" t="str">
        <x:v>Previously approved exception for webmail exchange, currently expired.</x:v>
      </x:c>
      <x:c r="K12" s="2" t="str">
        <x:v>diego.romero@example.com</x:v>
      </x:c>
      <x:c r="L12" s="2" t="str">
        <x:v>Approved</x:v>
      </x:c>
      <x:c r="M12" s="3" t="n">
        <x:v>46174</x:v>
      </x:c>
      <x:c r="N12" s="2" t="str">
        <x:f t="shared" si="0"/>
        <x:v>Expired</x:v>
      </x:c>
      <x:c r="O12" s="2" t="n">
        <x:v>3</x:v>
      </x:c>
      <x:c r="P12" s="3" t="n">
        <x:v>46332</x:v>
      </x:c>
      <x:c r="Q12" s="2" t="str">
        <x:f t="shared" si="1"/>
        <x:v>Yes</x:v>
      </x:c>
      <x:c r="R12" s="2" t="n">
        <x:v>6</x:v>
      </x:c>
      <x:c r="S12" s="2" t="str">
        <x:v>High</x:v>
      </x:c>
      <x:c r="T12" s="2" t="str">
        <x:v>Expired exception with medical data and active alerts.</x:v>
      </x:c>
      <x:c r="U12" s="2" t="str">
        <x:v>Escalate</x:v>
      </x:c>
      <x:c r="V12" s="3" t="n">
        <x:v>46185</x:v>
      </x:c>
    </x:row>
    <x:row r="13" ht="33.75">
      <x:c r="A13" s="2" t="str">
        <x:v>DLP-0012</x:v>
      </x:c>
      <x:c r="B13" s="2" t="str">
        <x:v>Yes</x:v>
      </x:c>
      <x:c r="C13" s="2" t="str">
        <x:v>Sent</x:v>
      </x:c>
      <x:c r="D13" s="2" t="str">
        <x:v>Completed</x:v>
      </x:c>
      <x:c r="E13" s="2" t="str">
        <x:v>raul.delgado@example.com</x:v>
      </x:c>
      <x:c r="F13" s="2" t="str">
        <x:v>Administration</x:v>
      </x:c>
      <x:c r="G13" s="2" t="str">
        <x:v>Exchange</x:v>
      </x:c>
      <x:c r="H13" s="2" t="str">
        <x:v>[Exchange] EXCL Non-medical Data - General Email</x:v>
      </x:c>
      <x:c r="I13" s="2" t="str">
        <x:v>Spain DNI</x:v>
      </x:c>
      <x:c r="J13" s="2" t="str">
        <x:v>Previously approved administrative exception, pending review due to expiry.</x:v>
      </x:c>
      <x:c r="K13" s="2" t="str">
        <x:v>clara.torres@example.com</x:v>
      </x:c>
      <x:c r="L13" s="2" t="str">
        <x:v>Approved</x:v>
      </x:c>
      <x:c r="M13" s="3" t="n">
        <x:v>46167</x:v>
      </x:c>
      <x:c r="N13" s="2" t="str">
        <x:f t="shared" si="0"/>
        <x:v>Expired</x:v>
      </x:c>
      <x:c r="O13" s="2" t="n">
        <x:v>2</x:v>
      </x:c>
      <x:c r="P13" s="3" t="n">
        <x:v>46332</x:v>
      </x:c>
      <x:c r="Q13" s="2" t="str">
        <x:f t="shared" si="1"/>
        <x:v>Yes</x:v>
      </x:c>
      <x:c r="R13" s="2" t="n">
        <x:v>6</x:v>
      </x:c>
      <x:c r="S13" s="2" t="str">
        <x:v>High</x:v>
      </x:c>
      <x:c r="T13" s="2" t="str">
        <x:v>Expired, still generating alerts and containing DNI.</x:v>
      </x:c>
      <x:c r="U13" s="2" t="str">
        <x:v>Escalate</x:v>
      </x:c>
      <x:c r="V13" s="3" t="n">
        <x:v>46185</x:v>
      </x:c>
    </x:row>
    <x:row r="14" ht="27.950000762939453">
      <x:c r="A14" s="2" t="str">
        <x:v>DLP-0013</x:v>
      </x:c>
      <x:c r="B14" s="2" t="str">
        <x:v>Yes</x:v>
      </x:c>
      <x:c r="C14" s="2" t="str">
        <x:v>Sent</x:v>
      </x:c>
      <x:c r="D14" s="2" t="str">
        <x:v>Pending</x:v>
      </x:c>
      <x:c r="E14" s="2" t="str">
        <x:v>javier.leon@example.com</x:v>
      </x:c>
      <x:c r="F14" s="2" t="str">
        <x:v>Administration</x:v>
      </x:c>
      <x:c r="G14" s="2" t="str">
        <x:v>Exchange</x:v>
      </x:c>
      <x:c r="H14" s="2" t="str">
        <x:v>[Exchange] EXCL Non-medical Data - General Email</x:v>
      </x:c>
      <x:c r="I14" s="2" t="str">
        <x:v>Spain DNI / card</x:v>
      </x:c>
      <x:c r="J14" s="2" t="str">
        <x:v>Request pending completion of the form before risk or activity can be assessed.</x:v>
      </x:c>
      <x:c r="K14" s="2" t="str">
        <x:v>laura.mendez@example.com</x:v>
      </x:c>
      <x:c r="L14" s="2" t="str">
        <x:v>Pending</x:v>
      </x:c>
      <x:c r="M14" s="3" t="n">
        <x:v>46233</x:v>
      </x:c>
      <x:c r="N14" s="2" t="str">
        <x:f t="shared" si="0"/>
        <x:v>Pending approval</x:v>
      </x:c>
      <x:c r="O14" s="2"/>
      <x:c r="P14" s="3"/>
      <x:c r="Q14" s="2" t="str">
        <x:f t="shared" si="1"/>
        <x:v>No</x:v>
      </x:c>
      <x:c r="R14" s="2"/>
      <x:c r="S14" s="2"/>
      <x:c r="T14" s="2"/>
      <x:c r="U14" s="2"/>
      <x:c r="V14" s="3"/>
    </x:row>
    <x:row r="15" ht="27.950000762939453">
      <x:c r="A15" s="2" t="str">
        <x:v>DLP-0014</x:v>
      </x:c>
      <x:c r="B15" s="2" t="str">
        <x:v>Yes</x:v>
      </x:c>
      <x:c r="C15" s="2" t="str">
        <x:v>Sent</x:v>
      </x:c>
      <x:c r="D15" s="2" t="str">
        <x:v>Completed</x:v>
      </x:c>
      <x:c r="E15" s="2" t="str">
        <x:v>yolanda.mora@example.com</x:v>
      </x:c>
      <x:c r="F15" s="2" t="str">
        <x:v>Management</x:v>
      </x:c>
      <x:c r="G15" s="2" t="str">
        <x:v>OneDrive</x:v>
      </x:c>
      <x:c r="H15" s="2" t="str">
        <x:v>[OneDrive] EXCL Extraction of large files</x:v>
      </x:c>
      <x:c r="I15" s="2" t="str">
        <x:v>Large file extraction</x:v>
      </x:c>
      <x:c r="J15" s="2" t="str">
        <x:v>Request pending formal approval by the security owner.</x:v>
      </x:c>
      <x:c r="K15" s="2" t="str">
        <x:v>hector.arias@example.com</x:v>
      </x:c>
      <x:c r="L15" s="2" t="str">
        <x:v>Pending</x:v>
      </x:c>
      <x:c r="M15" s="3" t="n">
        <x:v>46249</x:v>
      </x:c>
      <x:c r="N15" s="2" t="str">
        <x:f t="shared" si="0"/>
        <x:v>Pending approval</x:v>
      </x:c>
      <x:c r="O15" s="2"/>
      <x:c r="P15" s="3"/>
      <x:c r="Q15" s="2" t="str">
        <x:f t="shared" si="1"/>
        <x:v>No</x:v>
      </x:c>
      <x:c r="R15" s="2"/>
      <x:c r="S15" s="2"/>
      <x:c r="T15" s="2"/>
      <x:c r="U15" s="2"/>
      <x:c r="V15" s="3"/>
    </x:row>
    <x:row r="16" ht="27.950000762939453">
      <x:c r="A16" s="2" t="str">
        <x:v>DLP-0015</x:v>
      </x:c>
      <x:c r="B16" s="2" t="str">
        <x:v>Yes</x:v>
      </x:c>
      <x:c r="C16" s="2" t="str">
        <x:v>Sent</x:v>
      </x:c>
      <x:c r="D16" s="2" t="str">
        <x:v>Completed</x:v>
      </x:c>
      <x:c r="E16" s="2" t="str">
        <x:v>federico.rojas@example.com</x:v>
      </x:c>
      <x:c r="F16" s="2" t="str">
        <x:v>Projects</x:v>
      </x:c>
      <x:c r="G16" s="2" t="str">
        <x:v>SharePoint</x:v>
      </x:c>
      <x:c r="H16" s="2" t="str">
        <x:v>[SharePoint] EXCL Extraction of large files</x:v>
      </x:c>
      <x:c r="I16" s="2" t="str">
        <x:v>Large file extraction</x:v>
      </x:c>
      <x:c r="J16" s="2" t="str">
        <x:v>Request rejected because the need for the exception was not adequately justified.</x:v>
      </x:c>
      <x:c r="K16" s="2" t="str">
        <x:v>clara.torres@example.com</x:v>
      </x:c>
      <x:c r="L16" s="2" t="str">
        <x:v>Rejected</x:v>
      </x:c>
      <x:c r="M16" s="3" t="n">
        <x:v>46225</x:v>
      </x:c>
      <x:c r="N16" s="2" t="str">
        <x:f t="shared" si="0"/>
        <x:v>Rejected</x:v>
      </x:c>
      <x:c r="O16" s="2"/>
      <x:c r="P16" s="3"/>
      <x:c r="Q16" s="2" t="str">
        <x:f t="shared" si="1"/>
        <x:v>No</x:v>
      </x:c>
      <x:c r="R16" s="2"/>
      <x:c r="S16" s="2"/>
      <x:c r="T16" s="2"/>
      <x:c r="U16" s="2"/>
      <x:c r="V16" s="3"/>
    </x:row>
    <x:row r="17" ht="27.950000762939453">
      <x:c r="A17" s="2" t="str">
        <x:v>DLP-0016</x:v>
      </x:c>
      <x:c r="B17" s="2" t="str">
        <x:v>No</x:v>
      </x:c>
      <x:c r="C17" s="2" t="str">
        <x:v>Not sent</x:v>
      </x:c>
      <x:c r="D17" s="2" t="str">
        <x:v>Not started</x:v>
      </x:c>
      <x:c r="E17" s="2" t="str">
        <x:v>paula.serra@example.com</x:v>
      </x:c>
      <x:c r="F17" s="2" t="str">
        <x:v>Healthcare</x:v>
      </x:c>
      <x:c r="G17" s="2" t="str">
        <x:v>Exchange</x:v>
      </x:c>
      <x:c r="H17" s="2" t="str">
        <x:v>[Exchange] EXCL Medical Data - Exchange to Webmail</x:v>
      </x:c>
      <x:c r="I17" s="2" t="str">
        <x:v>Medical data / policy</x:v>
      </x:c>
      <x:c r="J17" s="2" t="str">
        <x:v>Draft exception not yet sent to the user or approval flow.</x:v>
      </x:c>
      <x:c r="K17" s="2" t="str">
        <x:v>diego.romero@example.com</x:v>
      </x:c>
      <x:c r="L17" s="2" t="str">
        <x:v>Not sent</x:v>
      </x:c>
      <x:c r="M17" s="3" t="n">
        <x:v>46239</x:v>
      </x:c>
      <x:c r="N17" s="2" t="str">
        <x:f t="shared" si="0"/>
        <x:v>Draft</x:v>
      </x:c>
      <x:c r="O17" s="2"/>
      <x:c r="P17" s="3"/>
      <x:c r="Q17" s="2" t="str">
        <x:f t="shared" si="1"/>
        <x:v>No</x:v>
      </x:c>
      <x:c r="R17" s="2"/>
      <x:c r="S17" s="2"/>
      <x:c r="T17" s="2"/>
      <x:c r="U17" s="2"/>
      <x:c r="V17" s="3"/>
    </x:row>
    <x:row r="18">
      <x:c r="M18" s="4"/>
      <x:c r="P18" s="4"/>
      <x:c r="V18" s="4"/>
    </x:row>
    <x:row r="19">
      <x:c r="M19" s="4"/>
      <x:c r="P19" s="4"/>
      <x:c r="V19" s="4"/>
    </x:row>
    <x:row r="20">
      <x:c r="M20" s="4"/>
      <x:c r="P20" s="4"/>
      <x:c r="V20" s="4"/>
    </x:row>
    <x:row r="21">
      <x:c r="M21" s="4"/>
      <x:c r="P21" s="4"/>
      <x:c r="V21" s="4"/>
    </x:row>
    <x:row r="22">
      <x:c r="M22" s="4"/>
      <x:c r="P22" s="4"/>
      <x:c r="V22" s="4"/>
    </x:row>
    <x:row r="23">
      <x:c r="M23" s="4"/>
      <x:c r="P23" s="4"/>
      <x:c r="V23" s="4"/>
    </x:row>
    <x:row r="24">
      <x:c r="M24" s="4"/>
      <x:c r="P24" s="4"/>
      <x:c r="V24" s="4"/>
    </x:row>
    <x:row r="25">
      <x:c r="M25" s="4"/>
      <x:c r="P25" s="4"/>
      <x:c r="V25" s="4"/>
    </x:row>
    <x:row r="26">
      <x:c r="M26" s="4"/>
      <x:c r="P26" s="4"/>
      <x:c r="V26" s="4"/>
    </x:row>
    <x:row r="27">
      <x:c r="M27" s="4"/>
      <x:c r="P27" s="4"/>
      <x:c r="V27" s="4"/>
    </x:row>
    <x:row r="28">
      <x:c r="M28" s="4"/>
      <x:c r="P28" s="4"/>
      <x:c r="V28" s="4"/>
    </x:row>
    <x:row r="29">
      <x:c r="M29" s="4"/>
      <x:c r="P29" s="4"/>
      <x:c r="V29" s="4"/>
    </x:row>
    <x:row r="30">
      <x:c r="M30" s="4"/>
      <x:c r="P30" s="4"/>
      <x:c r="V30" s="4"/>
    </x:row>
    <x:row r="31">
      <x:c r="M31" s="4"/>
      <x:c r="P31" s="4"/>
      <x:c r="V31" s="4"/>
    </x:row>
    <x:row r="32">
      <x:c r="M32" s="4"/>
      <x:c r="P32" s="4"/>
      <x:c r="V32" s="4"/>
    </x:row>
    <x:row r="33">
      <x:c r="M33" s="4"/>
      <x:c r="P33" s="4"/>
      <x:c r="V33" s="4"/>
    </x:row>
    <x:row r="34">
      <x:c r="M34" s="4"/>
      <x:c r="P34" s="4"/>
      <x:c r="V34" s="4"/>
    </x:row>
    <x:row r="35">
      <x:c r="M35" s="4"/>
      <x:c r="P35" s="4"/>
      <x:c r="V35" s="4"/>
    </x:row>
    <x:row r="36">
      <x:c r="M36" s="4"/>
      <x:c r="P36" s="4"/>
      <x:c r="V36" s="4"/>
    </x:row>
    <x:row r="37">
      <x:c r="M37" s="4"/>
      <x:c r="P37" s="4"/>
      <x:c r="V37" s="4"/>
    </x:row>
    <x:row r="38">
      <x:c r="M38" s="4"/>
      <x:c r="P38" s="4"/>
      <x:c r="V38" s="4"/>
    </x:row>
    <x:row r="39">
      <x:c r="M39" s="4"/>
      <x:c r="P39" s="4"/>
      <x:c r="V39" s="4"/>
    </x:row>
    <x:row r="40">
      <x:c r="M40" s="4"/>
      <x:c r="P40" s="4"/>
      <x:c r="V40" s="4"/>
    </x:row>
    <x:row r="41">
      <x:c r="M41" s="4"/>
      <x:c r="P41" s="4"/>
      <x:c r="V41" s="4"/>
    </x:row>
    <x:row r="42">
      <x:c r="M42" s="4"/>
      <x:c r="P42" s="4"/>
      <x:c r="V42" s="4"/>
    </x:row>
    <x:row r="43">
      <x:c r="M43" s="4"/>
      <x:c r="P43" s="4"/>
      <x:c r="V43" s="4"/>
    </x:row>
    <x:row r="44">
      <x:c r="M44" s="4"/>
      <x:c r="P44" s="4"/>
      <x:c r="V44" s="4"/>
    </x:row>
    <x:row r="45">
      <x:c r="M45" s="4"/>
      <x:c r="P45" s="4"/>
      <x:c r="V45" s="4"/>
    </x:row>
    <x:row r="46">
      <x:c r="M46" s="4"/>
      <x:c r="P46" s="4"/>
      <x:c r="V46" s="4"/>
    </x:row>
    <x:row r="47">
      <x:c r="M47" s="4"/>
      <x:c r="P47" s="4"/>
      <x:c r="V47" s="4"/>
    </x:row>
    <x:row r="48">
      <x:c r="M48" s="4"/>
      <x:c r="P48" s="4"/>
      <x:c r="V48" s="4"/>
    </x:row>
    <x:row r="49">
      <x:c r="M49" s="4"/>
      <x:c r="P49" s="4"/>
      <x:c r="V49" s="4"/>
    </x:row>
    <x:row r="50">
      <x:c r="M50" s="4"/>
      <x:c r="P50" s="4"/>
      <x:c r="V50" s="4"/>
    </x:row>
  </x:sheetData>
  <x:conditionalFormatting sqref="N2:N17">
    <x:cfRule type="expression" dxfId="2" priority="1">
      <x:formula>$N2="Caducada"</x:formula>
    </x:cfRule>
  </x:conditionalFormatting>
  <x:conditionalFormatting sqref="S2:S17">
    <x:cfRule type="expression" dxfId="1" priority="2">
      <x:formula>$S2="Alto"</x:formula>
    </x:cfRule>
    <x:cfRule type="expression" dxfId="0" priority="3">
      <x:formula>$S2="Crítico"</x:formula>
    </x:cfRule>
  </x:conditionalFormatting>
  <x:dataValidations count="10">
    <x:dataValidation type="list" sqref="B2:B50 Q2:Q50">
      <x:formula1>"Sí,No"</x:formula1>
    </x:dataValidation>
    <x:dataValidation type="list" sqref="C2:C50">
      <x:formula1>"No enviado,Enviado"</x:formula1>
    </x:dataValidation>
    <x:dataValidation type="list" sqref="D2:D50">
      <x:formula1>"No iniciado,Pendiente,Completado"</x:formula1>
    </x:dataValidation>
    <x:dataValidation type="list" sqref="F2:F50">
      <x:formula1>"Administración,Atención sanitaria,Clínico,Dirección,IT,Operaciones,Proyectos"</x:formula1>
    </x:dataValidation>
    <x:dataValidation type="list" sqref="G2:G50">
      <x:formula1>"Endpoint devices,Exchange,OneDrive,SharePoint"</x:formula1>
    </x:dataValidation>
    <x:dataValidation type="list" sqref="H2:H50">
      <x:formula1>_xlfn._LONGTEXT("[Endpoint] EXCL Non-medical Data,[Exchange] EXCL Medical Data - Exchange to Webmail,[SharePoint] EXCL Extraction of large files,[Endpoint] EXCL Extraction of large files,[Exchange] EXCL Non-medical Data - General Email,[OneDrive] EXCL Extraction of large ","files,[Endpoint] EXCL Medical Data,[Exchange] EXCL Non-medical Data - Exchange to Webmail")</x:formula1>
    </x:dataValidation>
    <x:dataValidation type="list" sqref="L2:L50">
      <x:formula1>"No enviado,Pendiente,Aprobado,Rechazado"</x:formula1>
    </x:dataValidation>
    <x:dataValidation type="list" sqref="N2:N50">
      <x:formula1>"Borrador,Pendiente de aprobación,Activa,Caducada,Rechazada"</x:formula1>
    </x:dataValidation>
    <x:dataValidation type="list" sqref="S2:S50">
      <x:formula1>"Bajo,Medio,Alto,Crítico"</x:formula1>
    </x:dataValidation>
    <x:dataValidation type="list" sqref="U2:U50">
      <x:formula1>"Renovar,Revisar,Retirar,Escalar,Cerrar,Solicitar información"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5e284c45774945"/>
  </x:tableParts>
</x:worksheet>
</file>